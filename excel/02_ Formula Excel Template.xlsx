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ysk\CV — kopia\Naukaa\excel\"/>
    </mc:Choice>
  </mc:AlternateContent>
  <xr:revisionPtr revIDLastSave="0" documentId="13_ncr:1_{700D8DDB-667D-4421-817B-EE57C5306250}" xr6:coauthVersionLast="47" xr6:coauthVersionMax="47" xr10:uidLastSave="{00000000-0000-0000-0000-000000000000}"/>
  <bookViews>
    <workbookView xWindow="-108" yWindow="-108" windowWidth="23256" windowHeight="13896" firstSheet="4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6" i="13"/>
  <c r="J3" i="13"/>
  <c r="J4" i="13"/>
  <c r="J5" i="13"/>
  <c r="J7" i="13"/>
  <c r="J8" i="13"/>
  <c r="J9" i="13"/>
  <c r="J10" i="13"/>
  <c r="J2" i="13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11" i="1"/>
  <c r="J12" i="1"/>
  <c r="J2" i="1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J3" i="6"/>
  <c r="J4" i="6"/>
  <c r="J5" i="6"/>
  <c r="J6" i="6"/>
  <c r="J7" i="6"/>
  <c r="J8" i="6"/>
  <c r="J9" i="6"/>
  <c r="J10" i="6"/>
  <c r="J2" i="6"/>
  <c r="L10" i="3"/>
  <c r="L9" i="3"/>
  <c r="L8" i="3"/>
  <c r="L7" i="3"/>
  <c r="L6" i="3"/>
  <c r="L5" i="3"/>
  <c r="L4" i="3"/>
  <c r="L3" i="3"/>
  <c r="L2" i="3"/>
  <c r="J3" i="3"/>
  <c r="J4" i="3"/>
  <c r="J5" i="3"/>
  <c r="J6" i="3"/>
  <c r="J7" i="3"/>
  <c r="J8" i="3"/>
  <c r="J9" i="3"/>
  <c r="J10" i="3"/>
  <c r="J2" i="3"/>
  <c r="M2" i="4" a="1"/>
  <c r="M2" i="4" s="1"/>
  <c r="L2" i="4" a="1"/>
  <c r="L2" i="4" s="1"/>
  <c r="K2" i="4" a="1"/>
  <c r="K2" i="4" s="1"/>
  <c r="J3" i="2"/>
  <c r="J4" i="2"/>
  <c r="J5" i="2"/>
  <c r="J6" i="2"/>
  <c r="J7" i="2"/>
  <c r="J8" i="2"/>
  <c r="J9" i="2"/>
  <c r="J10" i="2"/>
  <c r="J2" i="2"/>
  <c r="K2" i="8" a="1"/>
  <c r="K2" i="8" s="1"/>
  <c r="J2" i="8" a="1"/>
  <c r="J2" i="8" s="1"/>
  <c r="K3" i="9"/>
  <c r="J3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<sst xmlns="http://schemas.openxmlformats.org/spreadsheetml/2006/main" count="586" uniqueCount="90">
  <si>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</si>
  <si>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</si>
  <si>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</si>
  <si>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</si>
  <si>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</si>
  <si>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</si>
  <si>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</si>
  <si>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</si>
  <si>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</si>
  <si>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</si>
  <si>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</si>
  <si>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</si>
  <si>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</si>
  <si>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</si>
  <si>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</si>
  <si>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</si>
  <si>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</si>
  <si>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</si>
  <si>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</si>
  <si>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</si>
  <si>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</si>
  <si>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</si>
  <si>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</si>
  <si>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</si>
  <si>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</si>
  <si>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</si>
  <si>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</si>
  <si>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</si>
  <si>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</si>
  <si>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</si>
  <si>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</si>
  <si>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</si>
  <si>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</si>
  <si>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</si>
  <si>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</si>
  <si>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</si>
  <si>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</si>
  <si>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</si>
  <si>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</si>
  <si>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</si>
  <si>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</si>
  <si>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</si>
  <si>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</si>
  <si>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</si>
  <si>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</si>
  <si>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</si>
  <si>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</si>
  <si>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</si>
  <si>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</si>
  <si>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</si>
  <si>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</si>
  <si>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</si>
  <si>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</si>
  <si>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</si>
  <si>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</si>
  <si>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</si>
  <si>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</si>
  <si>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</si>
  <si>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</si>
  <si>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</si>
  <si>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</si>
  <si>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</si>
  <si>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</si>
  <si>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</si>
  <si>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</si>
  <si>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</si>
  <si>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</si>
  <si>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</si>
  <si>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</si>
  <si>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</si>
  <si>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</si>
  <si>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</si>
  <si>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</si>
  <si>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</si>
  <si>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</si>
  <si>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</si>
  <si>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</si>
  <si>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</si>
  <si>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</si>
  <si>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</si>
  <si>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Min</t>
  </si>
  <si>
    <t>IF</t>
  </si>
  <si>
    <t>IFS</t>
  </si>
  <si>
    <t>DAYS</t>
  </si>
  <si>
    <t>NETWORKDAYS</t>
  </si>
  <si>
    <t>Left</t>
  </si>
  <si>
    <t>Right</t>
  </si>
  <si>
    <t xml:space="preserve">Max </t>
  </si>
  <si>
    <t>salary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</si>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</sst>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H29" sqref="H29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87</v>
      </c>
      <c r="K1" s="3" t="s">
        <v>80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">
        <v>88</v>
      </c>
      <c r="K2" s="1" t="s">
        <v>88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E17" sqref="E17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81</v>
      </c>
      <c r="K1" s="3" t="s">
        <v>82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_xlfn.IFS(F2:F10="Salesman","Special bonus",F2:F10="Receptionist","give christmas tree",F2:F10="HR","Buy oranges")</f>
        <v>Special bonus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>
        <v>give christmas tree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Special bonus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Buy oranges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Special bonus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H17" sqref="H17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G23" sqref="G23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s="3" t="s">
        <v>85</v>
      </c>
      <c r="L1" s="3" t="s">
        <v>86</v>
      </c>
      <c r="M1" s="3" t="s">
        <v>86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workbookViewId="0">
      <selection activeCell="O5" sqref="O5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TEXT(H2,"dd/mm/rrrr")</f>
        <v>02/11/2001</v>
      </c>
      <c r="K2" s="2"/>
      <c r="L2" t="str">
        <f>TEXT(J2,"dd/mm/rrrr")</f>
        <v>02/11/2001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TEXT(H3,"dd/mm/rrrr")</f>
        <v>03/10/1999</v>
      </c>
      <c r="K3" s="2"/>
      <c r="L3" t="str">
        <f t="shared" si="0"/>
        <v>03/10/1999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  <c r="L4" t="str">
        <f t="shared" si="0"/>
        <v>04/07/2000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  <c r="L5" t="str">
        <f t="shared" si="0"/>
        <v>05/01/2000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  <c r="L6" t="str">
        <f t="shared" si="0"/>
        <v>06/05/2001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  <c r="L7" t="str">
        <f t="shared" si="0"/>
        <v>07/12/1995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  <c r="L8" t="str">
        <f t="shared" si="0"/>
        <v>08/11/2003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  <c r="L9" t="str">
        <f t="shared" si="0"/>
        <v>09/06/2002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  <c r="L10" t="str">
        <f t="shared" si="0"/>
        <v>10/08/2003</v>
      </c>
    </row>
    <row r="12" spans="1:12" x14ac:dyDescent="0.3">
      <c r="H12" s="1"/>
    </row>
    <row r="13" spans="1:12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I20" sqref="I2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TRIM(C3)</f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G14" sqref="G1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71</v>
      </c>
      <c r="K1" s="3" t="s">
        <v>72</v>
      </c>
      <c r="L1" s="3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J2" sqref="J2:L2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>
        <f>SUM(G2:G10)</f>
        <v>437000</v>
      </c>
      <c r="K2" s="3">
        <f>SUMIF(E2:E10,"Male",G2:G10)</f>
        <v>313000</v>
      </c>
      <c r="L2" s="3">
        <f>SUMIFS(G2:G10,D2:D10,"&gt;30",E2:E10,"Male")</f>
        <v>205000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J1" sqref="J1:L1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77</v>
      </c>
      <c r="K1" s="3" t="s">
        <v>78</v>
      </c>
      <c r="L1" s="3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COUNT(A2:A10)</f>
        <v>9</v>
      </c>
      <c r="K2">
        <f>COUNTIF(A2:A10,"&gt;1003")</f>
        <v>6</v>
      </c>
      <c r="L2">
        <f>COUNTIFS(E2:E10,"Male",A2:A10,"&gt;1005")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L12"/>
  <sheetViews>
    <sheetView workbookViewId="0">
      <selection activeCell="L17" sqref="L17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18</v>
      </c>
      <c r="K1" s="3" t="s">
        <v>89</v>
      </c>
      <c r="L1" s="3"/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CONCATENATE(B3," ",C3)</f>
        <v>Pam Beasley</v>
      </c>
      <c r="K3" t="str">
        <f t="shared" ref="K3:K12" si="1">CONCATENATE(B3,".",C3,"@gmail.com")</f>
        <v>Pam.Beasley@gmail.com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2" x14ac:dyDescent="0.3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2" x14ac:dyDescent="0.3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M7" sqref="M7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83</v>
      </c>
      <c r="K1" s="3" t="s">
        <v>84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>_xlfn.DAYS(I6,H6)</f>
        <v>#VALUE!</v>
      </c>
      <c r="K6" t="e">
        <f t="shared" si="1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Jan Zdaniewicz (190023)</cp:lastModifiedBy>
  <dcterms:created xsi:type="dcterms:W3CDTF">2021-12-16T14:18:34Z</dcterms:created>
  <dcterms:modified xsi:type="dcterms:W3CDTF">2025-12-22T01:59:14Z</dcterms:modified>
</cp:coreProperties>
</file>