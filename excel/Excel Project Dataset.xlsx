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xbots\Downloads\"/>
    </mc:Choice>
  </mc:AlternateContent>
  <xr:revisionPtr revIDLastSave="0" documentId="13_ncr:1_{D2A05A56-BF91-42F8-928D-69317E2D9DCF}" xr6:coauthVersionLast="47" xr6:coauthVersionMax="47" xr10:uidLastSave="{00000000-0000-0000-0000-000000000000}"/>
  <bookViews>
    <workbookView xWindow="-108" yWindow="-108" windowWidth="23256" windowHeight="13896"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1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<sst xmlns="http://schemas.openxmlformats.org/spreadsheetml/2006/main" count="16267" uniqueCount="51">
  <si>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</si>
  <si>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</si>
  <si>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</si>
  <si>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</si>
  <si>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</si>
  <si>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</si>
  <si>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</si>
  <si>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</si>
  <si>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</si>
  <si>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</si>
  <si>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</si>
  <si>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</si>
  <si>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</si>
  <si>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</si>
  <si>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</si>
  <si>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</si>
  <si>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</si>
  <si>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</si>
  <si>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</si>
  <si>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</si>
  <si>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</si>
  <si>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</si>
  <si>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</si>
  <si>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</si>
  <si>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</si>
  <si>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</si>
  <si>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</si>
  <si>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</si>
  <si>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</si>
  <si>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</si>
  <si>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</si>
  <si>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</si>
  <si>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</si>
  <si>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</si>
  <si>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</si>
  <si>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</si>
  <si>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</si>
  <si>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</si>
  <si>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</si>
  <si>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</si>
  <si>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</si>
  <si>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</si>
  <si>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</si>
  <si>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</si>
  <si>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</si>
  <si>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</si>
  <si>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10 Miles or more</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</si>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</sst>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45C]#,##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8"/>
      <color theme="0"/>
      <name val="Calibri"/>
      <family val="2"/>
      <charset val="238"/>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0" fontId="19"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Avg Income</a:t>
            </a:r>
            <a:r>
              <a:rPr lang="pl-PL" baseline="0"/>
              <a:t> Per Purchase</a:t>
            </a:r>
            <a:r>
              <a:rPr lang="pl-PL"/>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F3B5-4409-A145-80AE43673873}"/>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F3B5-4409-A145-80AE43673873}"/>
            </c:ext>
          </c:extLst>
        </c:ser>
        <c:dLbls>
          <c:showLegendKey val="0"/>
          <c:showVal val="0"/>
          <c:showCatName val="0"/>
          <c:showSerName val="0"/>
          <c:showPercent val="0"/>
          <c:showBubbleSize val="0"/>
        </c:dLbls>
        <c:gapWidth val="219"/>
        <c:overlap val="-27"/>
        <c:axId val="1342240032"/>
        <c:axId val="1342240512"/>
      </c:barChart>
      <c:catAx>
        <c:axId val="13422400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l-PL"/>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l-PL"/>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342240512"/>
        <c:crosses val="autoZero"/>
        <c:auto val="1"/>
        <c:lblAlgn val="ctr"/>
        <c:lblOffset val="100"/>
        <c:noMultiLvlLbl val="0"/>
      </c:catAx>
      <c:valAx>
        <c:axId val="13422405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l-PL"/>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l-PL"/>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3422400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pl-PL"/>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Customer</a:t>
            </a:r>
            <a:r>
              <a:rPr lang="pl-PL" baseline="0"/>
              <a:t> Commute</a:t>
            </a:r>
            <a:endParaRPr lang="pl-P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10 Miles or more</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086-41DC-9C15-7CBDDA383F54}"/>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10 Miles or more</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A086-41DC-9C15-7CBDDA383F54}"/>
            </c:ext>
          </c:extLst>
        </c:ser>
        <c:dLbls>
          <c:showLegendKey val="0"/>
          <c:showVal val="0"/>
          <c:showCatName val="0"/>
          <c:showSerName val="0"/>
          <c:showPercent val="0"/>
          <c:showBubbleSize val="0"/>
        </c:dLbls>
        <c:smooth val="0"/>
        <c:axId val="1401379535"/>
        <c:axId val="1401396335"/>
      </c:lineChart>
      <c:catAx>
        <c:axId val="14013795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l-PL"/>
                  <a:t>Commute</a:t>
                </a:r>
                <a:r>
                  <a:rPr lang="pl-PL" baseline="0"/>
                  <a:t> Distance</a:t>
                </a:r>
                <a:endParaRPr lang="pl-PL"/>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l-PL"/>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401396335"/>
        <c:crosses val="autoZero"/>
        <c:auto val="1"/>
        <c:lblAlgn val="ctr"/>
        <c:lblOffset val="100"/>
        <c:noMultiLvlLbl val="0"/>
      </c:catAx>
      <c:valAx>
        <c:axId val="1401396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401379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Customer</a:t>
            </a:r>
            <a:r>
              <a:rPr lang="pl-PL" baseline="0"/>
              <a:t> Age Brackets</a:t>
            </a:r>
            <a:endParaRPr lang="pl-P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c:v>
                </c:pt>
                <c:pt idx="1">
                  <c:v>Middle Age</c:v>
                </c:pt>
                <c:pt idx="2">
                  <c:v>Old</c:v>
                </c:pt>
              </c:strCache>
            </c:strRef>
          </c:cat>
          <c:val>
            <c:numRef>
              <c:f>'Pivot table'!$B$42:$B$45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3AF4-4FF3-AF37-268DCA820E4A}"/>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c:v>
                </c:pt>
                <c:pt idx="1">
                  <c:v>Middle Age</c:v>
                </c:pt>
                <c:pt idx="2">
                  <c:v>Old</c:v>
                </c:pt>
              </c:strCache>
            </c:strRef>
          </c:cat>
          <c:val>
            <c:numRef>
              <c:f>'Pivot table'!$C$42:$C$45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3AF4-4FF3-AF37-268DCA820E4A}"/>
            </c:ext>
          </c:extLst>
        </c:ser>
        <c:dLbls>
          <c:showLegendKey val="0"/>
          <c:showVal val="0"/>
          <c:showCatName val="0"/>
          <c:showSerName val="0"/>
          <c:showPercent val="0"/>
          <c:showBubbleSize val="0"/>
        </c:dLbls>
        <c:marker val="1"/>
        <c:smooth val="0"/>
        <c:axId val="1401430415"/>
        <c:axId val="1401430895"/>
      </c:lineChart>
      <c:catAx>
        <c:axId val="14014304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l-PL"/>
                  <a:t>Age</a:t>
                </a:r>
                <a:r>
                  <a:rPr lang="pl-PL" baseline="0"/>
                  <a:t> Bracket</a:t>
                </a:r>
                <a:endParaRPr lang="pl-PL"/>
              </a:p>
            </c:rich>
          </c:tx>
          <c:layout>
            <c:manualLayout>
              <c:xMode val="edge"/>
              <c:yMode val="edge"/>
              <c:x val="0.38661679790026249"/>
              <c:y val="0.8009973753280840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l-PL"/>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401430895"/>
        <c:crosses val="autoZero"/>
        <c:auto val="1"/>
        <c:lblAlgn val="ctr"/>
        <c:lblOffset val="100"/>
        <c:noMultiLvlLbl val="0"/>
      </c:catAx>
      <c:valAx>
        <c:axId val="1401430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401430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Customer</a:t>
            </a:r>
            <a:r>
              <a:rPr lang="pl-PL" baseline="0"/>
              <a:t> Commute</a:t>
            </a:r>
            <a:endParaRPr lang="pl-P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10 Miles or more</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F5C-4D38-944B-847288E73EAF}"/>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10 Miles or more</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F5C-4D38-944B-847288E73EAF}"/>
            </c:ext>
          </c:extLst>
        </c:ser>
        <c:dLbls>
          <c:showLegendKey val="0"/>
          <c:showVal val="0"/>
          <c:showCatName val="0"/>
          <c:showSerName val="0"/>
          <c:showPercent val="0"/>
          <c:showBubbleSize val="0"/>
        </c:dLbls>
        <c:smooth val="0"/>
        <c:axId val="1401379535"/>
        <c:axId val="1401396335"/>
      </c:lineChart>
      <c:catAx>
        <c:axId val="14013795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l-PL"/>
                  <a:t>Commute</a:t>
                </a:r>
                <a:r>
                  <a:rPr lang="pl-PL" baseline="0"/>
                  <a:t> Distance</a:t>
                </a:r>
                <a:endParaRPr lang="pl-PL"/>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l-PL"/>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401396335"/>
        <c:crosses val="autoZero"/>
        <c:auto val="1"/>
        <c:lblAlgn val="ctr"/>
        <c:lblOffset val="100"/>
        <c:noMultiLvlLbl val="0"/>
      </c:catAx>
      <c:valAx>
        <c:axId val="1401396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401379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Customer</a:t>
            </a:r>
            <a:r>
              <a:rPr lang="pl-PL" baseline="0"/>
              <a:t> Age Brackets</a:t>
            </a:r>
            <a:endParaRPr lang="pl-P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c:v>
                </c:pt>
                <c:pt idx="1">
                  <c:v>Middle Age</c:v>
                </c:pt>
                <c:pt idx="2">
                  <c:v>Old</c:v>
                </c:pt>
              </c:strCache>
            </c:strRef>
          </c:cat>
          <c:val>
            <c:numRef>
              <c:f>'Pivot table'!$B$42:$B$45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DF7B-4132-A9E5-D13BF3596416}"/>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c:v>
                </c:pt>
                <c:pt idx="1">
                  <c:v>Middle Age</c:v>
                </c:pt>
                <c:pt idx="2">
                  <c:v>Old</c:v>
                </c:pt>
              </c:strCache>
            </c:strRef>
          </c:cat>
          <c:val>
            <c:numRef>
              <c:f>'Pivot table'!$C$42:$C$45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DF7B-4132-A9E5-D13BF3596416}"/>
            </c:ext>
          </c:extLst>
        </c:ser>
        <c:dLbls>
          <c:showLegendKey val="0"/>
          <c:showVal val="0"/>
          <c:showCatName val="0"/>
          <c:showSerName val="0"/>
          <c:showPercent val="0"/>
          <c:showBubbleSize val="0"/>
        </c:dLbls>
        <c:marker val="1"/>
        <c:smooth val="0"/>
        <c:axId val="1401430415"/>
        <c:axId val="1401430895"/>
      </c:lineChart>
      <c:catAx>
        <c:axId val="14014304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l-PL"/>
                  <a:t>Age</a:t>
                </a:r>
                <a:r>
                  <a:rPr lang="pl-PL" baseline="0"/>
                  <a:t> Bracket</a:t>
                </a:r>
                <a:endParaRPr lang="pl-PL"/>
              </a:p>
            </c:rich>
          </c:tx>
          <c:layout>
            <c:manualLayout>
              <c:xMode val="edge"/>
              <c:yMode val="edge"/>
              <c:x val="0.38661679790026249"/>
              <c:y val="0.8009973753280840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l-PL"/>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401430895"/>
        <c:crosses val="autoZero"/>
        <c:auto val="1"/>
        <c:lblAlgn val="ctr"/>
        <c:lblOffset val="100"/>
        <c:noMultiLvlLbl val="0"/>
      </c:catAx>
      <c:valAx>
        <c:axId val="1401430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401430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Avg Income</a:t>
            </a:r>
            <a:r>
              <a:rPr lang="pl-PL" baseline="0"/>
              <a:t> Per Purchase</a:t>
            </a:r>
            <a:r>
              <a:rPr lang="pl-PL"/>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C399-48B7-B015-8D0608642304}"/>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C399-48B7-B015-8D0608642304}"/>
            </c:ext>
          </c:extLst>
        </c:ser>
        <c:dLbls>
          <c:showLegendKey val="0"/>
          <c:showVal val="0"/>
          <c:showCatName val="0"/>
          <c:showSerName val="0"/>
          <c:showPercent val="0"/>
          <c:showBubbleSize val="0"/>
        </c:dLbls>
        <c:gapWidth val="219"/>
        <c:overlap val="-27"/>
        <c:axId val="1342240032"/>
        <c:axId val="1342240512"/>
      </c:barChart>
      <c:catAx>
        <c:axId val="13422400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l-PL"/>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l-PL"/>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342240512"/>
        <c:crosses val="autoZero"/>
        <c:auto val="1"/>
        <c:lblAlgn val="ctr"/>
        <c:lblOffset val="100"/>
        <c:noMultiLvlLbl val="0"/>
      </c:catAx>
      <c:valAx>
        <c:axId val="13422405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l-PL"/>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l-PL"/>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3422400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pl-PL"/>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Customer</a:t>
            </a:r>
            <a:r>
              <a:rPr lang="pl-PL" baseline="0"/>
              <a:t> Commute</a:t>
            </a:r>
            <a:endParaRPr lang="pl-P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10 Miles or more</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F5C-4D38-944B-847288E73EAF}"/>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10 Miles or more</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F5C-4D38-944B-847288E73EAF}"/>
            </c:ext>
          </c:extLst>
        </c:ser>
        <c:dLbls>
          <c:showLegendKey val="0"/>
          <c:showVal val="0"/>
          <c:showCatName val="0"/>
          <c:showSerName val="0"/>
          <c:showPercent val="0"/>
          <c:showBubbleSize val="0"/>
        </c:dLbls>
        <c:smooth val="0"/>
        <c:axId val="1401379535"/>
        <c:axId val="1401396335"/>
      </c:lineChart>
      <c:catAx>
        <c:axId val="14013795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l-PL"/>
                  <a:t>Commute</a:t>
                </a:r>
                <a:r>
                  <a:rPr lang="pl-PL" baseline="0"/>
                  <a:t> Distance</a:t>
                </a:r>
                <a:endParaRPr lang="pl-PL"/>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l-PL"/>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401396335"/>
        <c:crosses val="autoZero"/>
        <c:auto val="1"/>
        <c:lblAlgn val="ctr"/>
        <c:lblOffset val="100"/>
        <c:noMultiLvlLbl val="0"/>
      </c:catAx>
      <c:valAx>
        <c:axId val="1401396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401379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Customer</a:t>
            </a:r>
            <a:r>
              <a:rPr lang="pl-PL" baseline="0"/>
              <a:t> Age Brackets</a:t>
            </a:r>
            <a:endParaRPr lang="pl-P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c:v>
                </c:pt>
                <c:pt idx="1">
                  <c:v>Middle Age</c:v>
                </c:pt>
                <c:pt idx="2">
                  <c:v>Old</c:v>
                </c:pt>
              </c:strCache>
            </c:strRef>
          </c:cat>
          <c:val>
            <c:numRef>
              <c:f>'Pivot table'!$B$42:$B$45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DF7B-4132-A9E5-D13BF3596416}"/>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c:v>
                </c:pt>
                <c:pt idx="1">
                  <c:v>Middle Age</c:v>
                </c:pt>
                <c:pt idx="2">
                  <c:v>Old</c:v>
                </c:pt>
              </c:strCache>
            </c:strRef>
          </c:cat>
          <c:val>
            <c:numRef>
              <c:f>'Pivot table'!$C$42:$C$45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DF7B-4132-A9E5-D13BF3596416}"/>
            </c:ext>
          </c:extLst>
        </c:ser>
        <c:dLbls>
          <c:showLegendKey val="0"/>
          <c:showVal val="0"/>
          <c:showCatName val="0"/>
          <c:showSerName val="0"/>
          <c:showPercent val="0"/>
          <c:showBubbleSize val="0"/>
        </c:dLbls>
        <c:marker val="1"/>
        <c:smooth val="0"/>
        <c:axId val="1401430415"/>
        <c:axId val="1401430895"/>
      </c:lineChart>
      <c:catAx>
        <c:axId val="14014304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l-PL"/>
                  <a:t>Age</a:t>
                </a:r>
                <a:r>
                  <a:rPr lang="pl-PL" baseline="0"/>
                  <a:t> Bracket</a:t>
                </a:r>
                <a:endParaRPr lang="pl-PL"/>
              </a:p>
            </c:rich>
          </c:tx>
          <c:layout>
            <c:manualLayout>
              <c:xMode val="edge"/>
              <c:yMode val="edge"/>
              <c:x val="0.38661679790026249"/>
              <c:y val="0.8009973753280840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l-PL"/>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401430895"/>
        <c:crosses val="autoZero"/>
        <c:auto val="1"/>
        <c:lblAlgn val="ctr"/>
        <c:lblOffset val="100"/>
        <c:noMultiLvlLbl val="0"/>
      </c:catAx>
      <c:valAx>
        <c:axId val="1401430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401430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5</xdr:col>
      <xdr:colOff>487680</xdr:colOff>
      <xdr:row>0</xdr:row>
      <xdr:rowOff>80010</xdr:rowOff>
    </xdr:from>
    <xdr:to>
      <xdr:col>13</xdr:col>
      <xdr:colOff>182880</xdr:colOff>
      <xdr:row>15</xdr:row>
      <xdr:rowOff>80010</xdr:rowOff>
    </xdr:to>
    <xdr:graphicFrame macro="">
      <xdr:nvGraphicFramePr>
        <xdr:cNvPr id="2" name="Chart 1">
          <a:extLst>
            <a:ext uri="{FF2B5EF4-FFF2-40B4-BE49-F238E27FC236}">
              <a16:creationId xmlns:a16="http://schemas.microsoft.com/office/drawing/2014/main" id="{064ADA61-8918-3E07-739A-3B2502417A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335280</xdr:colOff>
      <xdr:row>19</xdr:row>
      <xdr:rowOff>125730</xdr:rowOff>
    </xdr:from>
    <xdr:to>
      <xdr:col>13</xdr:col>
      <xdr:colOff>30480</xdr:colOff>
      <xdr:row>34</xdr:row>
      <xdr:rowOff>118110</xdr:rowOff>
    </xdr:to>
    <xdr:graphicFrame macro="">
      <xdr:nvGraphicFramePr>
        <xdr:cNvPr id="4" name="Chart 3">
          <a:extLst>
            <a:ext uri="{FF2B5EF4-FFF2-40B4-BE49-F238E27FC236}">
              <a16:creationId xmlns:a16="http://schemas.microsoft.com/office/drawing/2014/main" id="{E59E6287-F773-62D0-8563-E5A988B617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358140</xdr:colOff>
      <xdr:row>36</xdr:row>
      <xdr:rowOff>110490</xdr:rowOff>
    </xdr:from>
    <xdr:to>
      <xdr:col>13</xdr:col>
      <xdr:colOff>53340</xdr:colOff>
      <xdr:row>51</xdr:row>
      <xdr:rowOff>110490</xdr:rowOff>
    </xdr:to>
    <xdr:graphicFrame macro="">
      <xdr:nvGraphicFramePr>
        <xdr:cNvPr id="5" name="Chart 4">
          <a:extLst>
            <a:ext uri="{FF2B5EF4-FFF2-40B4-BE49-F238E27FC236}">
              <a16:creationId xmlns:a16="http://schemas.microsoft.com/office/drawing/2014/main" id="{7D0A6F42-622F-F608-CA3B-C688622454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518160</xdr:colOff>
      <xdr:row>0</xdr:row>
      <xdr:rowOff>0</xdr:rowOff>
    </xdr:from>
    <xdr:to>
      <xdr:col>15</xdr:col>
      <xdr:colOff>289560</xdr:colOff>
      <xdr:row>14</xdr:row>
      <xdr:rowOff>167640</xdr:rowOff>
    </xdr:to>
    <xdr:graphicFrame macro="">
      <xdr:nvGraphicFramePr>
        <xdr:cNvPr id="2" name="Chart 1">
          <a:extLst>
            <a:ext uri="{FF2B5EF4-FFF2-40B4-BE49-F238E27FC236}">
              <a16:creationId xmlns:a16="http://schemas.microsoft.com/office/drawing/2014/main" id="{4CE6C537-CF0F-40E0-949B-5F4CB92A0D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327660</xdr:colOff>
      <xdr:row>0</xdr:row>
      <xdr:rowOff>0</xdr:rowOff>
    </xdr:from>
    <xdr:to>
      <xdr:col>22</xdr:col>
      <xdr:colOff>228600</xdr:colOff>
      <xdr:row>14</xdr:row>
      <xdr:rowOff>129540</xdr:rowOff>
    </xdr:to>
    <xdr:graphicFrame macro="">
      <xdr:nvGraphicFramePr>
        <xdr:cNvPr id="3" name="Chart 2">
          <a:extLst>
            <a:ext uri="{FF2B5EF4-FFF2-40B4-BE49-F238E27FC236}">
              <a16:creationId xmlns:a16="http://schemas.microsoft.com/office/drawing/2014/main" id="{14B326F0-E6A8-4CD0-A2A2-782F683B9D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6</xdr:row>
      <xdr:rowOff>7620</xdr:rowOff>
    </xdr:from>
    <xdr:to>
      <xdr:col>6</xdr:col>
      <xdr:colOff>518160</xdr:colOff>
      <xdr:row>26</xdr:row>
      <xdr:rowOff>114300</xdr:rowOff>
    </xdr:to>
    <xdr:graphicFrame macro="">
      <xdr:nvGraphicFramePr>
        <xdr:cNvPr id="4" name="Chart 3">
          <a:extLst>
            <a:ext uri="{FF2B5EF4-FFF2-40B4-BE49-F238E27FC236}">
              <a16:creationId xmlns:a16="http://schemas.microsoft.com/office/drawing/2014/main" id="{7EE88F8C-C30A-4160-8D4D-A269610815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606312</xdr:colOff>
      <xdr:row>0</xdr:row>
      <xdr:rowOff>0</xdr:rowOff>
    </xdr:from>
    <xdr:to>
      <xdr:col>15</xdr:col>
      <xdr:colOff>320040</xdr:colOff>
      <xdr:row>14</xdr:row>
      <xdr:rowOff>175260</xdr:rowOff>
    </xdr:to>
    <xdr:graphicFrame macro="">
      <xdr:nvGraphicFramePr>
        <xdr:cNvPr id="5" name="Chart 4">
          <a:extLst>
            <a:ext uri="{FF2B5EF4-FFF2-40B4-BE49-F238E27FC236}">
              <a16:creationId xmlns:a16="http://schemas.microsoft.com/office/drawing/2014/main" id="{D41B7C30-6D18-FBE3-356B-B217505D1B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403860</xdr:colOff>
      <xdr:row>0</xdr:row>
      <xdr:rowOff>0</xdr:rowOff>
    </xdr:from>
    <xdr:to>
      <xdr:col>22</xdr:col>
      <xdr:colOff>259080</xdr:colOff>
      <xdr:row>14</xdr:row>
      <xdr:rowOff>175260</xdr:rowOff>
    </xdr:to>
    <xdr:graphicFrame macro="">
      <xdr:nvGraphicFramePr>
        <xdr:cNvPr id="6" name="Chart 5">
          <a:extLst>
            <a:ext uri="{FF2B5EF4-FFF2-40B4-BE49-F238E27FC236}">
              <a16:creationId xmlns:a16="http://schemas.microsoft.com/office/drawing/2014/main" id="{89D17200-DDAB-FF5F-381E-31EE1CFE1A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556260</xdr:colOff>
      <xdr:row>15</xdr:row>
      <xdr:rowOff>60961</xdr:rowOff>
    </xdr:from>
    <xdr:to>
      <xdr:col>9</xdr:col>
      <xdr:colOff>403860</xdr:colOff>
      <xdr:row>26</xdr:row>
      <xdr:rowOff>137160</xdr:rowOff>
    </xdr:to>
    <mc:AlternateContent xmlns:mc="http://schemas.openxmlformats.org/markup-compatibility/2006">
      <mc:Choice xmlns:a14="http://schemas.microsoft.com/office/drawing/2010/main" Requires="a14">
        <xdr:graphicFrame macro="">
          <xdr:nvGraphicFramePr>
            <xdr:cNvPr id="7" name="Marital Status">
              <a:extLst>
                <a:ext uri="{FF2B5EF4-FFF2-40B4-BE49-F238E27FC236}">
                  <a16:creationId xmlns:a16="http://schemas.microsoft.com/office/drawing/2014/main" id="{D7DA3B95-2282-563D-1824-3CADE23CF95C}"/>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4419600" y="3086101"/>
              <a:ext cx="1676400" cy="2087879"/>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411480</xdr:colOff>
      <xdr:row>15</xdr:row>
      <xdr:rowOff>60960</xdr:rowOff>
    </xdr:from>
    <xdr:to>
      <xdr:col>12</xdr:col>
      <xdr:colOff>411480</xdr:colOff>
      <xdr:row>26</xdr:row>
      <xdr:rowOff>137160</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EC3DD7FB-FE4D-751E-D3D7-C45FF556907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103620" y="3086100"/>
              <a:ext cx="1828800" cy="2087880"/>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419100</xdr:colOff>
      <xdr:row>15</xdr:row>
      <xdr:rowOff>60960</xdr:rowOff>
    </xdr:from>
    <xdr:to>
      <xdr:col>15</xdr:col>
      <xdr:colOff>419100</xdr:colOff>
      <xdr:row>26</xdr:row>
      <xdr:rowOff>132522</xdr:rowOff>
    </xdr:to>
    <mc:AlternateContent xmlns:mc="http://schemas.openxmlformats.org/markup-compatibility/2006">
      <mc:Choice xmlns:a14="http://schemas.microsoft.com/office/drawing/2010/main" Requires="a14">
        <xdr:graphicFrame macro="">
          <xdr:nvGraphicFramePr>
            <xdr:cNvPr id="9" name="Education">
              <a:extLst>
                <a:ext uri="{FF2B5EF4-FFF2-40B4-BE49-F238E27FC236}">
                  <a16:creationId xmlns:a16="http://schemas.microsoft.com/office/drawing/2014/main" id="{EAE2911E-CD87-47E8-EBDA-26FBC02BBFD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7940040" y="3086100"/>
              <a:ext cx="1828800" cy="2083242"/>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n Zdaniewicz" refreshedDate="46021.145495254626" createdVersion="8" refreshedVersion="8" minRefreshableVersion="3" recordCount="1000" xr:uid="{37F13850-11AD-41DD-B1DB-0D2A75CACE6C}">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or more"/>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7564093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88C80D-CAF8-41E4-A56E-37F11895B5B3}"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0:D45"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A243B8-0B20-4A57-BC84-2E093B35446E}"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0:D2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9" format="0" series="1">
      <pivotArea type="data" outline="0" fieldPosition="0">
        <references count="2">
          <reference field="4294967294" count="1" selected="0">
            <x v="0"/>
          </reference>
          <reference field="13" count="1" selected="0">
            <x v="0"/>
          </reference>
        </references>
      </pivotArea>
    </chartFormat>
    <chartFormat chart="9" format="1" series="1">
      <pivotArea type="data" outline="0" fieldPosition="0">
        <references count="2">
          <reference field="4294967294" count="1" selected="0">
            <x v="0"/>
          </reference>
          <reference field="13" count="1" selected="0">
            <x v="1"/>
          </reference>
        </references>
      </pivotArea>
    </chartFormat>
    <chartFormat chart="11" format="4" series="1">
      <pivotArea type="data" outline="0" fieldPosition="0">
        <references count="2">
          <reference field="4294967294" count="1" selected="0">
            <x v="0"/>
          </reference>
          <reference field="13" count="1" selected="0">
            <x v="0"/>
          </reference>
        </references>
      </pivotArea>
    </chartFormat>
    <chartFormat chart="11" format="5" series="1">
      <pivotArea type="data" outline="0" fieldPosition="0">
        <references count="2">
          <reference field="4294967294" count="1" selected="0">
            <x v="0"/>
          </reference>
          <reference field="13" count="1" selected="0">
            <x v="1"/>
          </reference>
        </references>
      </pivotArea>
    </chartFormat>
    <chartFormat chart="12" format="6" series="1">
      <pivotArea type="data" outline="0" fieldPosition="0">
        <references count="2">
          <reference field="4294967294" count="1" selected="0">
            <x v="0"/>
          </reference>
          <reference field="13" count="1" selected="0">
            <x v="0"/>
          </reference>
        </references>
      </pivotArea>
    </chartFormat>
    <chartFormat chart="12"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1B8384-A251-42AC-92AC-7E7E59CCD2FD}"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2">
    <format dxfId="23">
      <pivotArea collapsedLevelsAreSubtotals="1" fieldPosition="0">
        <references count="1">
          <reference field="2" count="0"/>
        </references>
      </pivotArea>
    </format>
    <format dxfId="22">
      <pivotArea grandRow="1" outline="0" collapsedLevelsAreSubtotals="1" fieldPosition="0"/>
    </format>
  </format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2B140E1-201D-463F-BA3F-418C7FDEB04B}" sourceName="Marital Status">
  <pivotTables>
    <pivotTable tabId="3" name="PivotTable1"/>
    <pivotTable tabId="3" name="PivotTable2"/>
    <pivotTable tabId="3" name="PivotTable3"/>
  </pivotTables>
  <data>
    <tabular pivotCacheId="75640933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B31DBD8-AC52-4E91-A46E-A01416232684}" sourceName="Region">
  <pivotTables>
    <pivotTable tabId="3" name="PivotTable1"/>
    <pivotTable tabId="3" name="PivotTable2"/>
    <pivotTable tabId="3" name="PivotTable3"/>
  </pivotTables>
  <data>
    <tabular pivotCacheId="75640933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351A7FC-104F-48A5-8BAA-41ED45DCE0D2}" sourceName="Education">
  <pivotTables>
    <pivotTable tabId="3" name="PivotTable1"/>
    <pivotTable tabId="3" name="PivotTable2"/>
    <pivotTable tabId="3" name="PivotTable3"/>
  </pivotTables>
  <data>
    <tabular pivotCacheId="756409334">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CFE5178B-71E2-4F04-86CB-7A9C29981C8F}" cache="Slicer_Marital_Status" caption="Marital Status" rowHeight="234950"/>
  <slicer name="Region" xr10:uid="{9F8A9820-D917-4008-A2B7-B7A5B21CB96E}" cache="Slicer_Region" caption="Region" rowHeight="234950"/>
  <slicer name="Education" xr10:uid="{9BC0FA5D-F925-4C95-92EE-1D66A636B8F8}" cache="Slicer_Education" caption="Educat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996" workbookViewId="0">
      <selection activeCell="D1018" sqref="D1018"/>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1CD4E-B9C1-44C1-AED2-E0E5F8D5EAA9}">
  <dimension ref="A1:N1001"/>
  <sheetViews>
    <sheetView topLeftCell="A710" workbookViewId="0">
      <selection activeCell="J710" sqref="J1:J1048576"/>
    </sheetView>
  </sheetViews>
  <sheetFormatPr defaultRowHeight="14.4" x14ac:dyDescent="0.3"/>
  <cols>
    <col min="1" max="1" width="9.109375" customWidth="1"/>
    <col min="2" max="2" width="12.33203125" bestFit="1" customWidth="1"/>
    <col min="4" max="4" width="12.5546875" style="4" bestFit="1" customWidth="1"/>
    <col min="6" max="6" width="16.21875" bestFit="1" customWidth="1"/>
    <col min="7" max="7" width="12.6640625" bestFit="1" customWidth="1"/>
    <col min="8" max="8" width="8.77734375" customWidth="1"/>
    <col min="10" max="10" width="16.5546875" bestFit="1" customWidth="1"/>
    <col min="11" max="11" width="12.88671875" bestFit="1" customWidth="1"/>
    <col min="13" max="13" width="11.44140625" bestFit="1" customWidth="1"/>
  </cols>
  <sheetData>
    <row r="1" spans="1:14" x14ac:dyDescent="0.3">
      <c r="A1" t="s">
        <v>0</v>
      </c>
      <c r="B1" t="s">
        <v>1</v>
      </c>
      <c r="C1" t="s">
        <v>2</v>
      </c>
      <c r="D1" s="4" t="s">
        <v>3</v>
      </c>
      <c r="E1" t="s">
        <v>4</v>
      </c>
      <c r="F1" t="s">
        <v>5</v>
      </c>
      <c r="G1" t="s">
        <v>6</v>
      </c>
      <c r="H1" t="s">
        <v>7</v>
      </c>
      <c r="I1" t="s">
        <v>8</v>
      </c>
      <c r="J1" t="s">
        <v>9</v>
      </c>
      <c r="K1" t="s">
        <v>10</v>
      </c>
      <c r="L1" t="s">
        <v>11</v>
      </c>
      <c r="M1" t="s">
        <v>40</v>
      </c>
      <c r="N1" t="s">
        <v>12</v>
      </c>
    </row>
    <row r="2" spans="1:14" x14ac:dyDescent="0.3">
      <c r="A2">
        <v>12496</v>
      </c>
      <c r="B2" t="s">
        <v>36</v>
      </c>
      <c r="C2" t="s">
        <v>38</v>
      </c>
      <c r="D2" s="4">
        <v>40000</v>
      </c>
      <c r="E2">
        <v>1</v>
      </c>
      <c r="F2" t="s">
        <v>13</v>
      </c>
      <c r="G2" t="s">
        <v>14</v>
      </c>
      <c r="H2" t="s">
        <v>15</v>
      </c>
      <c r="I2">
        <v>0</v>
      </c>
      <c r="J2" t="s">
        <v>16</v>
      </c>
      <c r="K2" t="s">
        <v>17</v>
      </c>
      <c r="L2">
        <v>42</v>
      </c>
      <c r="M2" t="str">
        <f>IF(L2&gt;54,"Old",IF(L2&gt;=31,"Middle Age",IF(L2&lt;31,"Adolescent","False")))</f>
        <v>Middle Age</v>
      </c>
      <c r="N2" t="s">
        <v>18</v>
      </c>
    </row>
    <row r="3" spans="1:14" x14ac:dyDescent="0.3">
      <c r="A3">
        <v>24107</v>
      </c>
      <c r="B3" t="s">
        <v>36</v>
      </c>
      <c r="C3" t="s">
        <v>39</v>
      </c>
      <c r="D3" s="4">
        <v>30000</v>
      </c>
      <c r="E3">
        <v>3</v>
      </c>
      <c r="F3" t="s">
        <v>19</v>
      </c>
      <c r="G3" t="s">
        <v>20</v>
      </c>
      <c r="H3" t="s">
        <v>15</v>
      </c>
      <c r="I3">
        <v>1</v>
      </c>
      <c r="J3" t="s">
        <v>16</v>
      </c>
      <c r="K3" t="s">
        <v>17</v>
      </c>
      <c r="L3">
        <v>43</v>
      </c>
      <c r="M3" t="str">
        <f t="shared" ref="M3:M66" si="0">IF(L3&gt;54,"Old",IF(L3&gt;=31,"Middle Age",IF(L3&lt;31,"Adolescent","False")))</f>
        <v>Middle Age</v>
      </c>
      <c r="N3" t="s">
        <v>18</v>
      </c>
    </row>
    <row r="4" spans="1:14" x14ac:dyDescent="0.3">
      <c r="A4">
        <v>14177</v>
      </c>
      <c r="B4" t="s">
        <v>36</v>
      </c>
      <c r="C4" t="s">
        <v>39</v>
      </c>
      <c r="D4" s="4">
        <v>80000</v>
      </c>
      <c r="E4">
        <v>5</v>
      </c>
      <c r="F4" t="s">
        <v>19</v>
      </c>
      <c r="G4" t="s">
        <v>21</v>
      </c>
      <c r="H4" t="s">
        <v>18</v>
      </c>
      <c r="I4">
        <v>2</v>
      </c>
      <c r="J4" t="s">
        <v>22</v>
      </c>
      <c r="K4" t="s">
        <v>17</v>
      </c>
      <c r="L4">
        <v>60</v>
      </c>
      <c r="M4" t="str">
        <f t="shared" si="0"/>
        <v>Old</v>
      </c>
      <c r="N4" t="s">
        <v>18</v>
      </c>
    </row>
    <row r="5" spans="1:14" x14ac:dyDescent="0.3">
      <c r="A5">
        <v>24381</v>
      </c>
      <c r="B5" t="s">
        <v>37</v>
      </c>
      <c r="C5" t="s">
        <v>39</v>
      </c>
      <c r="D5" s="4">
        <v>70000</v>
      </c>
      <c r="E5">
        <v>0</v>
      </c>
      <c r="F5" t="s">
        <v>13</v>
      </c>
      <c r="G5" t="s">
        <v>21</v>
      </c>
      <c r="H5" t="s">
        <v>15</v>
      </c>
      <c r="I5">
        <v>1</v>
      </c>
      <c r="J5" t="s">
        <v>23</v>
      </c>
      <c r="K5" t="s">
        <v>24</v>
      </c>
      <c r="L5">
        <v>41</v>
      </c>
      <c r="M5" t="str">
        <f t="shared" si="0"/>
        <v>Middle Age</v>
      </c>
      <c r="N5" t="s">
        <v>15</v>
      </c>
    </row>
    <row r="6" spans="1:14" x14ac:dyDescent="0.3">
      <c r="A6">
        <v>25597</v>
      </c>
      <c r="B6" t="s">
        <v>37</v>
      </c>
      <c r="C6" t="s">
        <v>39</v>
      </c>
      <c r="D6" s="4">
        <v>30000</v>
      </c>
      <c r="E6">
        <v>0</v>
      </c>
      <c r="F6" t="s">
        <v>13</v>
      </c>
      <c r="G6" t="s">
        <v>20</v>
      </c>
      <c r="H6" t="s">
        <v>18</v>
      </c>
      <c r="I6">
        <v>0</v>
      </c>
      <c r="J6" t="s">
        <v>16</v>
      </c>
      <c r="K6" t="s">
        <v>17</v>
      </c>
      <c r="L6">
        <v>36</v>
      </c>
      <c r="M6" t="str">
        <f t="shared" si="0"/>
        <v>Middle Age</v>
      </c>
      <c r="N6" t="s">
        <v>15</v>
      </c>
    </row>
    <row r="7" spans="1:14" x14ac:dyDescent="0.3">
      <c r="A7">
        <v>13507</v>
      </c>
      <c r="B7" t="s">
        <v>36</v>
      </c>
      <c r="C7" t="s">
        <v>38</v>
      </c>
      <c r="D7" s="4">
        <v>10000</v>
      </c>
      <c r="E7">
        <v>2</v>
      </c>
      <c r="F7" t="s">
        <v>19</v>
      </c>
      <c r="G7" t="s">
        <v>25</v>
      </c>
      <c r="H7" t="s">
        <v>15</v>
      </c>
      <c r="I7">
        <v>0</v>
      </c>
      <c r="J7" t="s">
        <v>26</v>
      </c>
      <c r="K7" t="s">
        <v>17</v>
      </c>
      <c r="L7">
        <v>50</v>
      </c>
      <c r="M7" t="str">
        <f t="shared" si="0"/>
        <v>Middle Age</v>
      </c>
      <c r="N7" t="s">
        <v>18</v>
      </c>
    </row>
    <row r="8" spans="1:14" x14ac:dyDescent="0.3">
      <c r="A8">
        <v>27974</v>
      </c>
      <c r="B8" t="s">
        <v>37</v>
      </c>
      <c r="C8" t="s">
        <v>39</v>
      </c>
      <c r="D8" s="4">
        <v>160000</v>
      </c>
      <c r="E8">
        <v>2</v>
      </c>
      <c r="F8" t="s">
        <v>27</v>
      </c>
      <c r="G8" t="s">
        <v>28</v>
      </c>
      <c r="H8" t="s">
        <v>15</v>
      </c>
      <c r="I8">
        <v>4</v>
      </c>
      <c r="J8" t="s">
        <v>16</v>
      </c>
      <c r="K8" t="s">
        <v>24</v>
      </c>
      <c r="L8">
        <v>33</v>
      </c>
      <c r="M8" t="str">
        <f t="shared" si="0"/>
        <v>Middle Age</v>
      </c>
      <c r="N8" t="s">
        <v>15</v>
      </c>
    </row>
    <row r="9" spans="1:14" x14ac:dyDescent="0.3">
      <c r="A9">
        <v>19364</v>
      </c>
      <c r="B9" t="s">
        <v>36</v>
      </c>
      <c r="C9" t="s">
        <v>39</v>
      </c>
      <c r="D9" s="4">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4">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4">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4">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4">
        <v>90000</v>
      </c>
      <c r="E13">
        <v>0</v>
      </c>
      <c r="F13" t="s">
        <v>13</v>
      </c>
      <c r="G13" t="s">
        <v>21</v>
      </c>
      <c r="H13" t="s">
        <v>18</v>
      </c>
      <c r="I13">
        <v>4</v>
      </c>
      <c r="J13" t="s">
        <v>46</v>
      </c>
      <c r="K13" t="s">
        <v>24</v>
      </c>
      <c r="L13">
        <v>36</v>
      </c>
      <c r="M13" t="str">
        <f t="shared" si="0"/>
        <v>Middle Age</v>
      </c>
      <c r="N13" t="s">
        <v>18</v>
      </c>
    </row>
    <row r="14" spans="1:14" x14ac:dyDescent="0.3">
      <c r="A14">
        <v>11434</v>
      </c>
      <c r="B14" t="s">
        <v>36</v>
      </c>
      <c r="C14" t="s">
        <v>39</v>
      </c>
      <c r="D14" s="4">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4">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4">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4">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4">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4">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4">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4">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4">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4">
        <v>80000</v>
      </c>
      <c r="E23">
        <v>0</v>
      </c>
      <c r="F23" t="s">
        <v>13</v>
      </c>
      <c r="G23" t="s">
        <v>21</v>
      </c>
      <c r="H23" t="s">
        <v>15</v>
      </c>
      <c r="I23">
        <v>4</v>
      </c>
      <c r="J23" t="s">
        <v>46</v>
      </c>
      <c r="K23" t="s">
        <v>24</v>
      </c>
      <c r="L23">
        <v>35</v>
      </c>
      <c r="M23" t="str">
        <f t="shared" si="0"/>
        <v>Middle Age</v>
      </c>
      <c r="N23" t="s">
        <v>18</v>
      </c>
    </row>
    <row r="24" spans="1:14" x14ac:dyDescent="0.3">
      <c r="A24">
        <v>19193</v>
      </c>
      <c r="B24" t="s">
        <v>37</v>
      </c>
      <c r="C24" t="s">
        <v>39</v>
      </c>
      <c r="D24" s="4">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4">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4">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4">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4">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4">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4">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4">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4">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4">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4">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4">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4">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4">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4">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4">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4">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4">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4">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4">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4">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4">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4">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4">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4">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4">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4">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4">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4">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4">
        <v>80000</v>
      </c>
      <c r="E53">
        <v>0</v>
      </c>
      <c r="F53" t="s">
        <v>13</v>
      </c>
      <c r="G53" t="s">
        <v>21</v>
      </c>
      <c r="H53" t="s">
        <v>18</v>
      </c>
      <c r="I53">
        <v>4</v>
      </c>
      <c r="J53" t="s">
        <v>46</v>
      </c>
      <c r="K53" t="s">
        <v>24</v>
      </c>
      <c r="L53">
        <v>35</v>
      </c>
      <c r="M53" t="str">
        <f t="shared" si="0"/>
        <v>Middle Age</v>
      </c>
      <c r="N53" t="s">
        <v>18</v>
      </c>
    </row>
    <row r="54" spans="1:14" x14ac:dyDescent="0.3">
      <c r="A54">
        <v>12558</v>
      </c>
      <c r="B54" t="s">
        <v>36</v>
      </c>
      <c r="C54" t="s">
        <v>38</v>
      </c>
      <c r="D54" s="4">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4">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4">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4">
        <v>80000</v>
      </c>
      <c r="E57">
        <v>4</v>
      </c>
      <c r="F57" t="s">
        <v>27</v>
      </c>
      <c r="G57" t="s">
        <v>21</v>
      </c>
      <c r="H57" t="s">
        <v>15</v>
      </c>
      <c r="I57">
        <v>2</v>
      </c>
      <c r="J57" t="s">
        <v>46</v>
      </c>
      <c r="K57" t="s">
        <v>17</v>
      </c>
      <c r="L57">
        <v>54</v>
      </c>
      <c r="M57" t="str">
        <f t="shared" si="0"/>
        <v>Middle Age</v>
      </c>
      <c r="N57" t="s">
        <v>18</v>
      </c>
    </row>
    <row r="58" spans="1:14" x14ac:dyDescent="0.3">
      <c r="A58">
        <v>12808</v>
      </c>
      <c r="B58" t="s">
        <v>36</v>
      </c>
      <c r="C58" t="s">
        <v>39</v>
      </c>
      <c r="D58" s="4">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4">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4">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4">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4">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4">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4">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4">
        <v>60000</v>
      </c>
      <c r="E65">
        <v>4</v>
      </c>
      <c r="F65" t="s">
        <v>13</v>
      </c>
      <c r="G65" t="s">
        <v>21</v>
      </c>
      <c r="H65" t="s">
        <v>15</v>
      </c>
      <c r="I65">
        <v>3</v>
      </c>
      <c r="J65" t="s">
        <v>46</v>
      </c>
      <c r="K65" t="s">
        <v>24</v>
      </c>
      <c r="L65">
        <v>41</v>
      </c>
      <c r="M65" t="str">
        <f t="shared" si="0"/>
        <v>Middle Age</v>
      </c>
      <c r="N65" t="s">
        <v>18</v>
      </c>
    </row>
    <row r="66" spans="1:14" x14ac:dyDescent="0.3">
      <c r="A66">
        <v>14927</v>
      </c>
      <c r="B66" t="s">
        <v>36</v>
      </c>
      <c r="C66" t="s">
        <v>38</v>
      </c>
      <c r="D66" s="4">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4">
        <v>30000</v>
      </c>
      <c r="E67">
        <v>2</v>
      </c>
      <c r="F67" t="s">
        <v>19</v>
      </c>
      <c r="G67" t="s">
        <v>20</v>
      </c>
      <c r="H67" t="s">
        <v>15</v>
      </c>
      <c r="I67">
        <v>2</v>
      </c>
      <c r="J67" t="s">
        <v>23</v>
      </c>
      <c r="K67" t="s">
        <v>24</v>
      </c>
      <c r="L67">
        <v>68</v>
      </c>
      <c r="M67" t="str">
        <f t="shared" ref="M67:M130" si="1">IF(L67&gt;54,"Old",IF(L67&gt;=31,"Middle Age",IF(L67&lt;31,"Adolescent","False")))</f>
        <v>Old</v>
      </c>
      <c r="N67" t="s">
        <v>18</v>
      </c>
    </row>
    <row r="68" spans="1:14" x14ac:dyDescent="0.3">
      <c r="A68">
        <v>29355</v>
      </c>
      <c r="B68" t="s">
        <v>36</v>
      </c>
      <c r="C68" t="s">
        <v>38</v>
      </c>
      <c r="D68" s="4">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4">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4">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4">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4">
        <v>120000</v>
      </c>
      <c r="E72">
        <v>0</v>
      </c>
      <c r="F72" t="s">
        <v>29</v>
      </c>
      <c r="G72" t="s">
        <v>21</v>
      </c>
      <c r="H72" t="s">
        <v>15</v>
      </c>
      <c r="I72">
        <v>4</v>
      </c>
      <c r="J72" t="s">
        <v>46</v>
      </c>
      <c r="K72" t="s">
        <v>24</v>
      </c>
      <c r="L72">
        <v>36</v>
      </c>
      <c r="M72" t="str">
        <f t="shared" si="1"/>
        <v>Middle Age</v>
      </c>
      <c r="N72" t="s">
        <v>15</v>
      </c>
    </row>
    <row r="73" spans="1:14" x14ac:dyDescent="0.3">
      <c r="A73">
        <v>16200</v>
      </c>
      <c r="B73" t="s">
        <v>37</v>
      </c>
      <c r="C73" t="s">
        <v>38</v>
      </c>
      <c r="D73" s="4">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4">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4">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4">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4">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4">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4">
        <v>80000</v>
      </c>
      <c r="E79">
        <v>0</v>
      </c>
      <c r="F79" t="s">
        <v>13</v>
      </c>
      <c r="G79" t="s">
        <v>21</v>
      </c>
      <c r="H79" t="s">
        <v>15</v>
      </c>
      <c r="I79">
        <v>2</v>
      </c>
      <c r="J79" t="s">
        <v>46</v>
      </c>
      <c r="K79" t="s">
        <v>24</v>
      </c>
      <c r="L79">
        <v>29</v>
      </c>
      <c r="M79" t="str">
        <f t="shared" si="1"/>
        <v>Adolescent</v>
      </c>
      <c r="N79" t="s">
        <v>15</v>
      </c>
    </row>
    <row r="80" spans="1:14" x14ac:dyDescent="0.3">
      <c r="A80">
        <v>15752</v>
      </c>
      <c r="B80" t="s">
        <v>36</v>
      </c>
      <c r="C80" t="s">
        <v>39</v>
      </c>
      <c r="D80" s="4">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4">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4">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4">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4">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4">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4">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4">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4">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4">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4">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4">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4">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4">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4">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4">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4">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4">
        <v>90000</v>
      </c>
      <c r="E97">
        <v>5</v>
      </c>
      <c r="F97" t="s">
        <v>19</v>
      </c>
      <c r="G97" t="s">
        <v>21</v>
      </c>
      <c r="H97" t="s">
        <v>15</v>
      </c>
      <c r="I97">
        <v>2</v>
      </c>
      <c r="J97" t="s">
        <v>46</v>
      </c>
      <c r="K97" t="s">
        <v>17</v>
      </c>
      <c r="L97">
        <v>62</v>
      </c>
      <c r="M97" t="str">
        <f t="shared" si="1"/>
        <v>Old</v>
      </c>
      <c r="N97" t="s">
        <v>18</v>
      </c>
    </row>
    <row r="98" spans="1:14" x14ac:dyDescent="0.3">
      <c r="A98">
        <v>12507</v>
      </c>
      <c r="B98" t="s">
        <v>36</v>
      </c>
      <c r="C98" t="s">
        <v>39</v>
      </c>
      <c r="D98" s="4">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4">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4">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4">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4">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4">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4">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4">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4">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4">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4">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4">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4">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4">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4">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4">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4">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4">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4">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4">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4">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4">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4">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4">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4">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4">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4">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38</v>
      </c>
      <c r="D125" s="4">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4">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4">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4">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4">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4">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4">
        <v>10000</v>
      </c>
      <c r="E131">
        <v>3</v>
      </c>
      <c r="F131" t="s">
        <v>27</v>
      </c>
      <c r="G131" t="s">
        <v>25</v>
      </c>
      <c r="H131" t="s">
        <v>15</v>
      </c>
      <c r="I131">
        <v>1</v>
      </c>
      <c r="J131" t="s">
        <v>16</v>
      </c>
      <c r="K131" t="s">
        <v>17</v>
      </c>
      <c r="L131">
        <v>39</v>
      </c>
      <c r="M131" t="str">
        <f t="shared" ref="M131:M194" si="2">IF(L131&gt;54,"Old",IF(L131&gt;=31,"Middle Age",IF(L131&lt;31,"Adolescent","False")))</f>
        <v>Middle Age</v>
      </c>
      <c r="N131" t="s">
        <v>15</v>
      </c>
    </row>
    <row r="132" spans="1:14" x14ac:dyDescent="0.3">
      <c r="A132">
        <v>12993</v>
      </c>
      <c r="B132" t="s">
        <v>36</v>
      </c>
      <c r="C132" t="s">
        <v>39</v>
      </c>
      <c r="D132" s="4">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4">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4">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4">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4">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4">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4">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4">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4">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4">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4">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4">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4">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4">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39</v>
      </c>
      <c r="D146" s="4">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4">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4">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4">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4">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4">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4">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4">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4">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4">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4">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4">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4">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4">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4">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4">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4">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4">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4">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4">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4">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4">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4">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4">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39</v>
      </c>
      <c r="D170" s="4">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4">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4">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4">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4">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4">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4">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4">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4">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4">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4">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38</v>
      </c>
      <c r="D181" s="4">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4">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4">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4">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4">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4">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38</v>
      </c>
      <c r="D187" s="4">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4">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4">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38</v>
      </c>
      <c r="D190" s="4">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39</v>
      </c>
      <c r="D191" s="4">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4">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4">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4">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38</v>
      </c>
      <c r="D195" s="4">
        <v>70000</v>
      </c>
      <c r="E195">
        <v>5</v>
      </c>
      <c r="F195" t="s">
        <v>13</v>
      </c>
      <c r="G195" t="s">
        <v>21</v>
      </c>
      <c r="H195" t="s">
        <v>15</v>
      </c>
      <c r="I195">
        <v>4</v>
      </c>
      <c r="J195" t="s">
        <v>46</v>
      </c>
      <c r="K195" t="s">
        <v>24</v>
      </c>
      <c r="L195">
        <v>41</v>
      </c>
      <c r="M195" t="str">
        <f t="shared" ref="M195:M258" si="3">IF(L195&gt;54,"Old",IF(L195&gt;=31,"Middle Age",IF(L195&lt;31,"Adolescent","False")))</f>
        <v>Middle Age</v>
      </c>
      <c r="N195" t="s">
        <v>18</v>
      </c>
    </row>
    <row r="196" spans="1:14" x14ac:dyDescent="0.3">
      <c r="A196">
        <v>17843</v>
      </c>
      <c r="B196" t="s">
        <v>37</v>
      </c>
      <c r="C196" t="s">
        <v>38</v>
      </c>
      <c r="D196" s="4">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4">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4">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4">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4">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4">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39</v>
      </c>
      <c r="D202" s="4">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4">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4">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4">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4">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4">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4">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38</v>
      </c>
      <c r="D209" s="4">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4">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4">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4">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4">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4">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4">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39</v>
      </c>
      <c r="D216" s="4">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4">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4">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4">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4">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4">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4">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4">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4">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4">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38</v>
      </c>
      <c r="D226" s="4">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4">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4">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4">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4">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4">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39</v>
      </c>
      <c r="D232" s="4">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38</v>
      </c>
      <c r="D233" s="4">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4">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4">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4">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38</v>
      </c>
      <c r="D237" s="4">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4">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4">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4">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4">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4">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4">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4">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4">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4">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39</v>
      </c>
      <c r="D247" s="4">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4">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4">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38</v>
      </c>
      <c r="D250" s="4">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4">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4">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4">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4">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4">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39</v>
      </c>
      <c r="D256" s="4">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4">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4">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4">
        <v>50000</v>
      </c>
      <c r="E259">
        <v>0</v>
      </c>
      <c r="F259" t="s">
        <v>31</v>
      </c>
      <c r="G259" t="s">
        <v>14</v>
      </c>
      <c r="H259" t="s">
        <v>15</v>
      </c>
      <c r="I259">
        <v>0</v>
      </c>
      <c r="J259" t="s">
        <v>16</v>
      </c>
      <c r="K259" t="s">
        <v>17</v>
      </c>
      <c r="L259">
        <v>36</v>
      </c>
      <c r="M259" t="str">
        <f t="shared" ref="M259:M322" si="4">IF(L259&gt;54,"Old",IF(L259&gt;=31,"Middle Age",IF(L259&lt;31,"Adolescent","False")))</f>
        <v>Middle Age</v>
      </c>
      <c r="N259" t="s">
        <v>15</v>
      </c>
    </row>
    <row r="260" spans="1:14" x14ac:dyDescent="0.3">
      <c r="A260">
        <v>14193</v>
      </c>
      <c r="B260" t="s">
        <v>37</v>
      </c>
      <c r="C260" t="s">
        <v>38</v>
      </c>
      <c r="D260" s="4">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39</v>
      </c>
      <c r="D261" s="4">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4">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4">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4">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4">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39</v>
      </c>
      <c r="D266" s="4">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4">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4">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4">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4">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4">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4">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4">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4">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4">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4">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4">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4">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4">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4">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39</v>
      </c>
      <c r="D281" s="4">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4">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4">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4">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4">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4">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4">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4">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4">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4">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4">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4">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4">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4">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4">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4">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4">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38</v>
      </c>
      <c r="D298" s="4">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4">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4">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4">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4">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4">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4">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4">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4">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4">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4">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4">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4">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4">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4">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4">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4">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4">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4">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4">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4">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4">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4">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38</v>
      </c>
      <c r="D321" s="4">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4">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4">
        <v>160000</v>
      </c>
      <c r="E323">
        <v>0</v>
      </c>
      <c r="F323" t="s">
        <v>31</v>
      </c>
      <c r="G323" t="s">
        <v>28</v>
      </c>
      <c r="H323" t="s">
        <v>18</v>
      </c>
      <c r="I323">
        <v>3</v>
      </c>
      <c r="J323" t="s">
        <v>16</v>
      </c>
      <c r="K323" t="s">
        <v>24</v>
      </c>
      <c r="L323">
        <v>47</v>
      </c>
      <c r="M323" t="str">
        <f t="shared" ref="M323:M386" si="5">IF(L323&gt;54,"Old",IF(L323&gt;=31,"Middle Age",IF(L323&lt;31,"Adolescent","False")))</f>
        <v>Middle Age</v>
      </c>
      <c r="N323" t="s">
        <v>15</v>
      </c>
    </row>
    <row r="324" spans="1:14" x14ac:dyDescent="0.3">
      <c r="A324">
        <v>16410</v>
      </c>
      <c r="B324" t="s">
        <v>37</v>
      </c>
      <c r="C324" t="s">
        <v>38</v>
      </c>
      <c r="D324" s="4">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4">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4">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4">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4">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4">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4">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4">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38</v>
      </c>
      <c r="D332" s="4">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39</v>
      </c>
      <c r="D333" s="4">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4">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4">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4">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4">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4">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4">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4">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4">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4">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4">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4">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4">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4">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4">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4">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4">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4">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4">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4">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4">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4">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4">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4">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4">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38</v>
      </c>
      <c r="D358" s="4">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4">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4">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4">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39</v>
      </c>
      <c r="D362" s="4">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4">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4">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4">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4">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4">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4">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4">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4">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4">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4">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39</v>
      </c>
      <c r="D373" s="4">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4">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4">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4">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4">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4">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4">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4">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4">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4">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38</v>
      </c>
      <c r="D383" s="4">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4">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39</v>
      </c>
      <c r="D385" s="4">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4">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4">
        <v>30000</v>
      </c>
      <c r="E387">
        <v>3</v>
      </c>
      <c r="F387" t="s">
        <v>19</v>
      </c>
      <c r="G387" t="s">
        <v>20</v>
      </c>
      <c r="H387" t="s">
        <v>15</v>
      </c>
      <c r="I387">
        <v>0</v>
      </c>
      <c r="J387" t="s">
        <v>16</v>
      </c>
      <c r="K387" t="s">
        <v>17</v>
      </c>
      <c r="L387">
        <v>43</v>
      </c>
      <c r="M387" t="str">
        <f t="shared" ref="M387:M450" si="6">IF(L387&gt;54,"Old",IF(L387&gt;=31,"Middle Age",IF(L387&lt;31,"Adolescent","False")))</f>
        <v>Middle Age</v>
      </c>
      <c r="N387" t="s">
        <v>18</v>
      </c>
    </row>
    <row r="388" spans="1:14" x14ac:dyDescent="0.3">
      <c r="A388">
        <v>28957</v>
      </c>
      <c r="B388" t="s">
        <v>37</v>
      </c>
      <c r="C388" t="s">
        <v>38</v>
      </c>
      <c r="D388" s="4">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38</v>
      </c>
      <c r="D389" s="4">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4">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4">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4">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4">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4">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4">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4">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4">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4">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4">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4">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4">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4">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38</v>
      </c>
      <c r="D403" s="4">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4">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4">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4">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4">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4">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4">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4">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4">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4">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4">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4">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4">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4">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4">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4">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4">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4">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4">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4">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39</v>
      </c>
      <c r="D423" s="4">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4">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39</v>
      </c>
      <c r="D425" s="4">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4">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4">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4">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4">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4">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4">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4">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4">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4">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38</v>
      </c>
      <c r="D435" s="4">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4">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4">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4">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4">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4">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4">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4">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39</v>
      </c>
      <c r="D443" s="4">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4">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4">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4">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4">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4">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38</v>
      </c>
      <c r="D449" s="4">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4">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4">
        <v>40000</v>
      </c>
      <c r="E451">
        <v>1</v>
      </c>
      <c r="F451" t="s">
        <v>13</v>
      </c>
      <c r="G451" t="s">
        <v>14</v>
      </c>
      <c r="H451" t="s">
        <v>15</v>
      </c>
      <c r="I451">
        <v>0</v>
      </c>
      <c r="J451" t="s">
        <v>16</v>
      </c>
      <c r="K451" t="s">
        <v>17</v>
      </c>
      <c r="L451">
        <v>42</v>
      </c>
      <c r="M451" t="str">
        <f t="shared" ref="M451:M514" si="7">IF(L451&gt;54,"Old",IF(L451&gt;=31,"Middle Age",IF(L451&lt;31,"Adolescent","False")))</f>
        <v>Middle Age</v>
      </c>
      <c r="N451" t="s">
        <v>18</v>
      </c>
    </row>
    <row r="452" spans="1:14" x14ac:dyDescent="0.3">
      <c r="A452">
        <v>16559</v>
      </c>
      <c r="B452" t="s">
        <v>37</v>
      </c>
      <c r="C452" t="s">
        <v>38</v>
      </c>
      <c r="D452" s="4">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4">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4">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4">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4">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4">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4">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4">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4">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38</v>
      </c>
      <c r="D461" s="4">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39</v>
      </c>
      <c r="D462" s="4">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4">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4">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4">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4">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4">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4">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4">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4">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4">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4">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4">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4">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4">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4">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4">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4">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4">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4">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4">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4">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4">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4">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4">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4">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4">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4">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39</v>
      </c>
      <c r="D489" s="4">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4">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4">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4">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4">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4">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4">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39</v>
      </c>
      <c r="D496" s="4">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4">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38</v>
      </c>
      <c r="D498" s="4">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4">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4">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4">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4">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4">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4">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4">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4">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4">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4">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4">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4">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4">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4">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4">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4">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4">
        <v>60000</v>
      </c>
      <c r="E515">
        <v>4</v>
      </c>
      <c r="F515" t="s">
        <v>31</v>
      </c>
      <c r="G515" t="s">
        <v>28</v>
      </c>
      <c r="H515" t="s">
        <v>15</v>
      </c>
      <c r="I515">
        <v>2</v>
      </c>
      <c r="J515" t="s">
        <v>46</v>
      </c>
      <c r="K515" t="s">
        <v>32</v>
      </c>
      <c r="L515">
        <v>61</v>
      </c>
      <c r="M515" t="str">
        <f t="shared" ref="M515:M578" si="8">IF(L515&gt;54,"Old",IF(L515&gt;=31,"Middle Age",IF(L515&lt;31,"Adolescent","False")))</f>
        <v>Old</v>
      </c>
      <c r="N515" t="s">
        <v>15</v>
      </c>
    </row>
    <row r="516" spans="1:14" x14ac:dyDescent="0.3">
      <c r="A516">
        <v>19399</v>
      </c>
      <c r="B516" t="s">
        <v>37</v>
      </c>
      <c r="C516" t="s">
        <v>39</v>
      </c>
      <c r="D516" s="4">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4">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4">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4">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4">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4">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4">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4">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39</v>
      </c>
      <c r="D524" s="4">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4">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4">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4">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38</v>
      </c>
      <c r="D528" s="4">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4">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4">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4">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39</v>
      </c>
      <c r="D532" s="4">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4">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4">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4">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39</v>
      </c>
      <c r="D536" s="4">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39</v>
      </c>
      <c r="D537" s="4">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38</v>
      </c>
      <c r="D538" s="4">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4">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4">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4">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4">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4">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4">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4">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4">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4">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4">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4">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4">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4">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4">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4">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39</v>
      </c>
      <c r="D554" s="4">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39</v>
      </c>
      <c r="D555" s="4">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4">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4">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4">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4">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4">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4">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38</v>
      </c>
      <c r="D562" s="4">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4">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4">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4">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4">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4">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4">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4">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4">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4">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39</v>
      </c>
      <c r="D572" s="4">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4">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4">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4">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4">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4">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38</v>
      </c>
      <c r="D578" s="4">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4">
        <v>120000</v>
      </c>
      <c r="E579">
        <v>1</v>
      </c>
      <c r="F579" t="s">
        <v>13</v>
      </c>
      <c r="G579" t="s">
        <v>28</v>
      </c>
      <c r="H579" t="s">
        <v>15</v>
      </c>
      <c r="I579">
        <v>4</v>
      </c>
      <c r="J579" t="s">
        <v>16</v>
      </c>
      <c r="K579" t="s">
        <v>32</v>
      </c>
      <c r="L579">
        <v>38</v>
      </c>
      <c r="M579" t="str">
        <f t="shared" ref="M579:M642" si="9">IF(L579&gt;54,"Old",IF(L579&gt;=31,"Middle Age",IF(L579&lt;31,"Adolescent","False")))</f>
        <v>Middle Age</v>
      </c>
      <c r="N579" t="s">
        <v>18</v>
      </c>
    </row>
    <row r="580" spans="1:14" x14ac:dyDescent="0.3">
      <c r="A580">
        <v>15313</v>
      </c>
      <c r="B580" t="s">
        <v>36</v>
      </c>
      <c r="C580" t="s">
        <v>39</v>
      </c>
      <c r="D580" s="4">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4">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4">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39</v>
      </c>
      <c r="D583" s="4">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4">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4">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39</v>
      </c>
      <c r="D586" s="4">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4">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4">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4">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4">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39</v>
      </c>
      <c r="D591" s="4">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38</v>
      </c>
      <c r="D592" s="4">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4">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38</v>
      </c>
      <c r="D594" s="4">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4">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4">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4">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4">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4">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4">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4">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4">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4">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4">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4">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4">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4">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4">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4">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39</v>
      </c>
      <c r="D610" s="4">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4">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4">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4">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4">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4">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4">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4">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4">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4">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4">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4">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4">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4">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4">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4">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4">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4">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4">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4">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4">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4">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4">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4">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4">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4">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4">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4">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4">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4">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4">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4">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4">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4">
        <v>50000</v>
      </c>
      <c r="E643">
        <v>4</v>
      </c>
      <c r="F643" t="s">
        <v>13</v>
      </c>
      <c r="G643" t="s">
        <v>28</v>
      </c>
      <c r="H643" t="s">
        <v>15</v>
      </c>
      <c r="I643">
        <v>2</v>
      </c>
      <c r="J643" t="s">
        <v>46</v>
      </c>
      <c r="K643" t="s">
        <v>32</v>
      </c>
      <c r="L643">
        <v>64</v>
      </c>
      <c r="M643" t="str">
        <f t="shared" ref="M643:M706" si="10">IF(L643&gt;54,"Old",IF(L643&gt;=31,"Middle Age",IF(L643&lt;31,"Adolescent","False")))</f>
        <v>Old</v>
      </c>
      <c r="N643" t="s">
        <v>18</v>
      </c>
    </row>
    <row r="644" spans="1:14" x14ac:dyDescent="0.3">
      <c r="A644">
        <v>21741</v>
      </c>
      <c r="B644" t="s">
        <v>36</v>
      </c>
      <c r="C644" t="s">
        <v>38</v>
      </c>
      <c r="D644" s="4">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4">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4">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38</v>
      </c>
      <c r="D647" s="4">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4">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4">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4">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4">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4">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39</v>
      </c>
      <c r="D653" s="4">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4">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4">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4">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4">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4">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4">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4">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4">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38</v>
      </c>
      <c r="D662" s="4">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4">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4">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4">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4">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4">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4">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4">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38</v>
      </c>
      <c r="D670" s="4">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4">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4">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38</v>
      </c>
      <c r="D673" s="4">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4">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4">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4">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4">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4">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4">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4">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4">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38</v>
      </c>
      <c r="D682" s="4">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4">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4">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4">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4">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4">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4">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4">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4">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4">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4">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4">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4">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4">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4">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4">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4">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4">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4">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4">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4">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4">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4">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4">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4">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4">
        <v>70000</v>
      </c>
      <c r="E707">
        <v>4</v>
      </c>
      <c r="F707" t="s">
        <v>13</v>
      </c>
      <c r="G707" t="s">
        <v>28</v>
      </c>
      <c r="H707" t="s">
        <v>15</v>
      </c>
      <c r="I707">
        <v>1</v>
      </c>
      <c r="J707" t="s">
        <v>46</v>
      </c>
      <c r="K707" t="s">
        <v>32</v>
      </c>
      <c r="L707">
        <v>59</v>
      </c>
      <c r="M707" t="str">
        <f t="shared" ref="M707:M770" si="11">IF(L707&gt;54,"Old",IF(L707&gt;=31,"Middle Age",IF(L707&lt;31,"Adolescent","False")))</f>
        <v>Old</v>
      </c>
      <c r="N707" t="s">
        <v>18</v>
      </c>
    </row>
    <row r="708" spans="1:14" x14ac:dyDescent="0.3">
      <c r="A708">
        <v>20296</v>
      </c>
      <c r="B708" t="s">
        <v>37</v>
      </c>
      <c r="C708" t="s">
        <v>38</v>
      </c>
      <c r="D708" s="4">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4">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4">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38</v>
      </c>
      <c r="D711" s="4">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39</v>
      </c>
      <c r="D712" s="4">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4">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38</v>
      </c>
      <c r="D714" s="4">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4">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4">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4">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4">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4">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4">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4">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4">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4">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4">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4">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4">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4">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4">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4">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4">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4">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4">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4">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4">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4">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4">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4">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4">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4">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4">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4">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39</v>
      </c>
      <c r="D742" s="4">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4">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4">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4">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4">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39</v>
      </c>
      <c r="D747" s="4">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4">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38</v>
      </c>
      <c r="D749" s="4">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4">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4">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4">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4">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4">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4">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4">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4">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4">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4">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4">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4">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4">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4">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39</v>
      </c>
      <c r="D764" s="4">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4">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4">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4">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4">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38</v>
      </c>
      <c r="D769" s="4">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4">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4">
        <v>100000</v>
      </c>
      <c r="E771">
        <v>4</v>
      </c>
      <c r="F771" t="s">
        <v>13</v>
      </c>
      <c r="G771" t="s">
        <v>28</v>
      </c>
      <c r="H771" t="s">
        <v>15</v>
      </c>
      <c r="I771">
        <v>4</v>
      </c>
      <c r="J771" t="s">
        <v>16</v>
      </c>
      <c r="K771" t="s">
        <v>32</v>
      </c>
      <c r="L771">
        <v>40</v>
      </c>
      <c r="M771" t="str">
        <f t="shared" ref="M771:M834" si="12">IF(L771&gt;54,"Old",IF(L771&gt;=31,"Middle Age",IF(L771&lt;31,"Adolescent","False")))</f>
        <v>Middle Age</v>
      </c>
      <c r="N771" t="s">
        <v>18</v>
      </c>
    </row>
    <row r="772" spans="1:14" x14ac:dyDescent="0.3">
      <c r="A772">
        <v>17699</v>
      </c>
      <c r="B772" t="s">
        <v>36</v>
      </c>
      <c r="C772" t="s">
        <v>39</v>
      </c>
      <c r="D772" s="4">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4">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4">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4">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4">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4">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39</v>
      </c>
      <c r="D778" s="4">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4">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4">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4">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4">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39</v>
      </c>
      <c r="D783" s="4">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4">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4">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4">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4">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4">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4">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4">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4">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4">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4">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4">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4">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4">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4">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4">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4">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4">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4">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4">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4">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4">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4">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4">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4">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4">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4">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4">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4">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4">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4">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4">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38</v>
      </c>
      <c r="D815" s="4">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38</v>
      </c>
      <c r="D816" s="4">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4">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4">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4">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4">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4">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4">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4">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4">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4">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4">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4">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4">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4">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4">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4">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4">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4">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4">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4">
        <v>70000</v>
      </c>
      <c r="E835">
        <v>0</v>
      </c>
      <c r="F835" t="s">
        <v>13</v>
      </c>
      <c r="G835" t="s">
        <v>21</v>
      </c>
      <c r="H835" t="s">
        <v>18</v>
      </c>
      <c r="I835">
        <v>1</v>
      </c>
      <c r="J835" t="s">
        <v>16</v>
      </c>
      <c r="K835" t="s">
        <v>32</v>
      </c>
      <c r="L835">
        <v>37</v>
      </c>
      <c r="M835" t="str">
        <f t="shared" ref="M835:M898" si="13">IF(L835&gt;54,"Old",IF(L835&gt;=31,"Middle Age",IF(L835&lt;31,"Adolescent","False")))</f>
        <v>Middle Age</v>
      </c>
      <c r="N835" t="s">
        <v>15</v>
      </c>
    </row>
    <row r="836" spans="1:14" x14ac:dyDescent="0.3">
      <c r="A836">
        <v>19889</v>
      </c>
      <c r="B836" t="s">
        <v>37</v>
      </c>
      <c r="C836" t="s">
        <v>38</v>
      </c>
      <c r="D836" s="4">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4">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4">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4">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4">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4">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4">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39</v>
      </c>
      <c r="D843" s="4">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4">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4">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4">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38</v>
      </c>
      <c r="D847" s="4">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4">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4">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4">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4">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4">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4">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4">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4">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4">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4">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4">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4">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4">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4">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4">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4">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4">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4">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4">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4">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4">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39</v>
      </c>
      <c r="D869" s="4">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4">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38</v>
      </c>
      <c r="D871" s="4">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4">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4">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38</v>
      </c>
      <c r="D874" s="4">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4">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4">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4">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4">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4">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4">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4">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4">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4">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4">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4">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4">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4">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4">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4">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4">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4">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4">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4">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4">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4">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4">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4">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4">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4">
        <v>30000</v>
      </c>
      <c r="E899">
        <v>0</v>
      </c>
      <c r="F899" t="s">
        <v>29</v>
      </c>
      <c r="G899" t="s">
        <v>20</v>
      </c>
      <c r="H899" t="s">
        <v>18</v>
      </c>
      <c r="I899">
        <v>2</v>
      </c>
      <c r="J899" t="s">
        <v>16</v>
      </c>
      <c r="K899" t="s">
        <v>32</v>
      </c>
      <c r="L899">
        <v>28</v>
      </c>
      <c r="M899" t="str">
        <f t="shared" ref="M899:M962" si="14">IF(L899&gt;54,"Old",IF(L899&gt;=31,"Middle Age",IF(L899&lt;31,"Adolescent","False")))</f>
        <v>Adolescent</v>
      </c>
      <c r="N899" t="s">
        <v>18</v>
      </c>
    </row>
    <row r="900" spans="1:14" x14ac:dyDescent="0.3">
      <c r="A900">
        <v>18066</v>
      </c>
      <c r="B900" t="s">
        <v>37</v>
      </c>
      <c r="C900" t="s">
        <v>39</v>
      </c>
      <c r="D900" s="4">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38</v>
      </c>
      <c r="D901" s="4">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39</v>
      </c>
      <c r="D902" s="4">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4">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4">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4">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4">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4">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4">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4">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39</v>
      </c>
      <c r="D910" s="4">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4">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4">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4">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4">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4">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4">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4">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39</v>
      </c>
      <c r="D918" s="4">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4">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4">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4">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39</v>
      </c>
      <c r="D922" s="4">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4">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4">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4">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4">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4">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4">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38</v>
      </c>
      <c r="D929" s="4">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4">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4">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4">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38</v>
      </c>
      <c r="D933" s="4">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4">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4">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4">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4">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4">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4">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4">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4">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4">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4">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4">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4">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4">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4">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4">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4">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4">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4">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38</v>
      </c>
      <c r="D952" s="4">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4">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4">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4">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4">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4">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4">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4">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4">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4">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4">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4">
        <v>120000</v>
      </c>
      <c r="E963">
        <v>2</v>
      </c>
      <c r="F963" t="s">
        <v>13</v>
      </c>
      <c r="G963" t="s">
        <v>28</v>
      </c>
      <c r="H963" t="s">
        <v>15</v>
      </c>
      <c r="I963">
        <v>3</v>
      </c>
      <c r="J963" t="s">
        <v>23</v>
      </c>
      <c r="K963" t="s">
        <v>32</v>
      </c>
      <c r="L963">
        <v>62</v>
      </c>
      <c r="M963" t="str">
        <f t="shared" ref="M963:M1001" si="15">IF(L963&gt;54,"Old",IF(L963&gt;=31,"Middle Age",IF(L963&lt;31,"Adolescent","False")))</f>
        <v>Old</v>
      </c>
      <c r="N963" t="s">
        <v>18</v>
      </c>
    </row>
    <row r="964" spans="1:14" x14ac:dyDescent="0.3">
      <c r="A964">
        <v>16813</v>
      </c>
      <c r="B964" t="s">
        <v>36</v>
      </c>
      <c r="C964" t="s">
        <v>39</v>
      </c>
      <c r="D964" s="4">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38</v>
      </c>
      <c r="D965" s="4">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4">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38</v>
      </c>
      <c r="D967" s="4">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4">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4">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4">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4">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4">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4">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4">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4">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4">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4">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4">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38</v>
      </c>
      <c r="D979" s="4">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4">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4">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4">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39</v>
      </c>
      <c r="D983" s="4">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4">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4">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4">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4">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4">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38</v>
      </c>
      <c r="D989" s="4">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39</v>
      </c>
      <c r="D990" s="4">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39</v>
      </c>
      <c r="D991" s="4">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38</v>
      </c>
      <c r="D992" s="4">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4">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4">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4">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4">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4">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4">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4">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4">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4">
        <v>60000</v>
      </c>
      <c r="E1001">
        <v>3</v>
      </c>
      <c r="F1001" t="s">
        <v>27</v>
      </c>
      <c r="G1001" t="s">
        <v>21</v>
      </c>
      <c r="H1001" t="s">
        <v>15</v>
      </c>
      <c r="I1001">
        <v>2</v>
      </c>
      <c r="J1001" t="s">
        <v>46</v>
      </c>
      <c r="K1001" t="s">
        <v>32</v>
      </c>
      <c r="L1001">
        <v>53</v>
      </c>
      <c r="M1001" t="str">
        <f t="shared" si="15"/>
        <v>Middle Age</v>
      </c>
      <c r="N1001" t="s">
        <v>15</v>
      </c>
    </row>
  </sheetData>
  <autoFilter ref="A1:N1001" xr:uid="{F9E1CD4E-B9C1-44C1-AED2-E0E5F8D5EAA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BE083-CE15-48FA-929B-E9527447E8DA}">
  <dimension ref="A1:D45"/>
  <sheetViews>
    <sheetView workbookViewId="0">
      <selection activeCell="O38" sqref="O38"/>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1" spans="1:4" x14ac:dyDescent="0.3">
      <c r="A1" s="5" t="s">
        <v>43</v>
      </c>
      <c r="B1" s="5" t="s">
        <v>44</v>
      </c>
    </row>
    <row r="2" spans="1:4" x14ac:dyDescent="0.3">
      <c r="A2" s="5" t="s">
        <v>41</v>
      </c>
      <c r="B2" t="s">
        <v>18</v>
      </c>
      <c r="C2" t="s">
        <v>15</v>
      </c>
      <c r="D2" t="s">
        <v>42</v>
      </c>
    </row>
    <row r="3" spans="1:4" x14ac:dyDescent="0.3">
      <c r="A3" s="6" t="s">
        <v>38</v>
      </c>
      <c r="B3" s="3">
        <v>53440</v>
      </c>
      <c r="C3" s="3">
        <v>55774.058577405856</v>
      </c>
      <c r="D3" s="3">
        <v>54580.777096114522</v>
      </c>
    </row>
    <row r="4" spans="1:4" x14ac:dyDescent="0.3">
      <c r="A4" s="6" t="s">
        <v>39</v>
      </c>
      <c r="B4" s="3">
        <v>56208.178438661707</v>
      </c>
      <c r="C4" s="3">
        <v>60123.966942148763</v>
      </c>
      <c r="D4" s="3">
        <v>58062.62230919765</v>
      </c>
    </row>
    <row r="5" spans="1:4" x14ac:dyDescent="0.3">
      <c r="A5" s="6" t="s">
        <v>42</v>
      </c>
      <c r="B5" s="3">
        <v>54874.759152215796</v>
      </c>
      <c r="C5" s="3">
        <v>57962.577962577961</v>
      </c>
      <c r="D5" s="3">
        <v>56360</v>
      </c>
    </row>
    <row r="20" spans="1:4" x14ac:dyDescent="0.3">
      <c r="A20" s="5" t="s">
        <v>45</v>
      </c>
      <c r="B20" s="5" t="s">
        <v>44</v>
      </c>
    </row>
    <row r="21" spans="1:4" x14ac:dyDescent="0.3">
      <c r="A21" s="5" t="s">
        <v>41</v>
      </c>
      <c r="B21" t="s">
        <v>18</v>
      </c>
      <c r="C21" t="s">
        <v>15</v>
      </c>
      <c r="D21" t="s">
        <v>42</v>
      </c>
    </row>
    <row r="22" spans="1:4" x14ac:dyDescent="0.3">
      <c r="A22" s="6" t="s">
        <v>16</v>
      </c>
      <c r="B22" s="7">
        <v>166</v>
      </c>
      <c r="C22" s="7">
        <v>200</v>
      </c>
      <c r="D22" s="7">
        <v>366</v>
      </c>
    </row>
    <row r="23" spans="1:4" x14ac:dyDescent="0.3">
      <c r="A23" s="6" t="s">
        <v>26</v>
      </c>
      <c r="B23" s="7">
        <v>92</v>
      </c>
      <c r="C23" s="7">
        <v>77</v>
      </c>
      <c r="D23" s="7">
        <v>169</v>
      </c>
    </row>
    <row r="24" spans="1:4" x14ac:dyDescent="0.3">
      <c r="A24" s="6" t="s">
        <v>22</v>
      </c>
      <c r="B24" s="7">
        <v>67</v>
      </c>
      <c r="C24" s="7">
        <v>95</v>
      </c>
      <c r="D24" s="7">
        <v>162</v>
      </c>
    </row>
    <row r="25" spans="1:4" ht="15" customHeight="1" x14ac:dyDescent="0.3">
      <c r="A25" s="6" t="s">
        <v>23</v>
      </c>
      <c r="B25" s="7">
        <v>116</v>
      </c>
      <c r="C25" s="7">
        <v>76</v>
      </c>
      <c r="D25" s="7">
        <v>192</v>
      </c>
    </row>
    <row r="26" spans="1:4" x14ac:dyDescent="0.3">
      <c r="A26" s="6" t="s">
        <v>46</v>
      </c>
      <c r="B26" s="7">
        <v>78</v>
      </c>
      <c r="C26" s="7">
        <v>33</v>
      </c>
      <c r="D26" s="7">
        <v>111</v>
      </c>
    </row>
    <row r="27" spans="1:4" x14ac:dyDescent="0.3">
      <c r="A27" s="6" t="s">
        <v>42</v>
      </c>
      <c r="B27" s="7">
        <v>519</v>
      </c>
      <c r="C27" s="7">
        <v>481</v>
      </c>
      <c r="D27" s="7">
        <v>1000</v>
      </c>
    </row>
    <row r="40" spans="1:4" x14ac:dyDescent="0.3">
      <c r="A40" s="5" t="s">
        <v>45</v>
      </c>
      <c r="B40" s="5" t="s">
        <v>44</v>
      </c>
    </row>
    <row r="41" spans="1:4" x14ac:dyDescent="0.3">
      <c r="A41" s="5" t="s">
        <v>41</v>
      </c>
      <c r="B41" t="s">
        <v>18</v>
      </c>
      <c r="C41" t="s">
        <v>15</v>
      </c>
      <c r="D41" t="s">
        <v>42</v>
      </c>
    </row>
    <row r="42" spans="1:4" x14ac:dyDescent="0.3">
      <c r="A42" s="6" t="s">
        <v>47</v>
      </c>
      <c r="B42" s="7">
        <v>71</v>
      </c>
      <c r="C42" s="7">
        <v>39</v>
      </c>
      <c r="D42" s="7">
        <v>110</v>
      </c>
    </row>
    <row r="43" spans="1:4" x14ac:dyDescent="0.3">
      <c r="A43" s="6" t="s">
        <v>48</v>
      </c>
      <c r="B43" s="7">
        <v>318</v>
      </c>
      <c r="C43" s="7">
        <v>383</v>
      </c>
      <c r="D43" s="7">
        <v>701</v>
      </c>
    </row>
    <row r="44" spans="1:4" x14ac:dyDescent="0.3">
      <c r="A44" s="6" t="s">
        <v>49</v>
      </c>
      <c r="B44" s="7">
        <v>130</v>
      </c>
      <c r="C44" s="7">
        <v>59</v>
      </c>
      <c r="D44" s="7">
        <v>189</v>
      </c>
    </row>
    <row r="45" spans="1:4" x14ac:dyDescent="0.3">
      <c r="A45" s="6" t="s">
        <v>42</v>
      </c>
      <c r="B45" s="7">
        <v>519</v>
      </c>
      <c r="C45" s="7">
        <v>481</v>
      </c>
      <c r="D45" s="7">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0A133-F749-4987-BF4E-0F9EC38779FF}">
  <dimension ref="A1:G6"/>
  <sheetViews>
    <sheetView showGridLines="0" tabSelected="1" zoomScaleNormal="100" workbookViewId="0">
      <selection activeCell="S24" sqref="S24"/>
    </sheetView>
  </sheetViews>
  <sheetFormatPr defaultRowHeight="14.4" x14ac:dyDescent="0.3"/>
  <cols>
    <col min="6" max="6" width="11.88671875" customWidth="1"/>
  </cols>
  <sheetData>
    <row r="1" spans="1:7" x14ac:dyDescent="0.3">
      <c r="A1" s="8"/>
      <c r="B1" s="8"/>
      <c r="C1" s="8"/>
      <c r="D1" s="8"/>
      <c r="E1" s="8"/>
      <c r="F1" s="8"/>
      <c r="G1" s="8"/>
    </row>
    <row r="2" spans="1:7" x14ac:dyDescent="0.3">
      <c r="A2" s="8"/>
      <c r="B2" s="8"/>
      <c r="C2" s="8"/>
      <c r="D2" s="8"/>
      <c r="E2" s="8"/>
      <c r="F2" s="8"/>
      <c r="G2" s="8"/>
    </row>
    <row r="3" spans="1:7" x14ac:dyDescent="0.3">
      <c r="A3" s="8"/>
      <c r="B3" s="8"/>
      <c r="C3" s="8"/>
      <c r="D3" s="8"/>
      <c r="E3" s="8"/>
      <c r="F3" s="8"/>
      <c r="G3" s="8"/>
    </row>
    <row r="4" spans="1:7" ht="36.6" x14ac:dyDescent="0.7">
      <c r="A4" s="8"/>
      <c r="B4" s="9" t="s">
        <v>50</v>
      </c>
      <c r="C4" s="8"/>
      <c r="D4" s="8"/>
      <c r="E4" s="8"/>
      <c r="F4" s="8"/>
      <c r="G4" s="8"/>
    </row>
    <row r="5" spans="1:7" x14ac:dyDescent="0.3">
      <c r="A5" s="8"/>
      <c r="B5" s="8"/>
      <c r="C5" s="8"/>
      <c r="D5" s="8"/>
      <c r="E5" s="8"/>
      <c r="F5" s="8"/>
      <c r="G5" s="8"/>
    </row>
    <row r="6" spans="1:7" x14ac:dyDescent="0.3">
      <c r="A6" s="8"/>
      <c r="B6" s="8"/>
      <c r="C6" s="8"/>
      <c r="D6" s="8"/>
      <c r="E6" s="8"/>
      <c r="F6" s="8"/>
      <c r="G6"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Jan Zdaniewicz (190023)</cp:lastModifiedBy>
  <dcterms:created xsi:type="dcterms:W3CDTF">2022-03-18T02:50:57Z</dcterms:created>
  <dcterms:modified xsi:type="dcterms:W3CDTF">2025-12-30T03:04:04Z</dcterms:modified>
</cp:coreProperties>
</file>